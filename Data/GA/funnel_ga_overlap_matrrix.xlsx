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ata_backup/mel_1st_year_project_paper_rework/GA_vs_funnel/"/>
    </mc:Choice>
  </mc:AlternateContent>
  <xr:revisionPtr revIDLastSave="0" documentId="13_ncr:1_{CC5E449A-F90E-EB47-8F68-16D1D5F3884B}" xr6:coauthVersionLast="47" xr6:coauthVersionMax="47" xr10:uidLastSave="{00000000-0000-0000-0000-000000000000}"/>
  <bookViews>
    <workbookView xWindow="0" yWindow="2400" windowWidth="28040" windowHeight="17440" xr2:uid="{650D7A2C-16CB-5D43-A570-46AD83F5A9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M7" i="1"/>
  <c r="N7" i="1"/>
  <c r="O7" i="1"/>
  <c r="P7" i="1"/>
  <c r="Q7" i="1"/>
  <c r="K7" i="1"/>
  <c r="P3" i="1"/>
  <c r="P4" i="1"/>
  <c r="P5" i="1"/>
  <c r="P6" i="1"/>
  <c r="P8" i="1"/>
  <c r="P2" i="1"/>
  <c r="O3" i="1"/>
  <c r="O4" i="1"/>
  <c r="O5" i="1"/>
  <c r="O6" i="1"/>
  <c r="O8" i="1"/>
  <c r="O2" i="1"/>
  <c r="Q3" i="1"/>
  <c r="Q4" i="1"/>
  <c r="Q5" i="1"/>
  <c r="Q6" i="1"/>
  <c r="Q8" i="1"/>
  <c r="Q2" i="1"/>
</calcChain>
</file>

<file path=xl/sharedStrings.xml><?xml version="1.0" encoding="utf-8"?>
<sst xmlns="http://schemas.openxmlformats.org/spreadsheetml/2006/main" count="36" uniqueCount="14">
  <si>
    <t>Run 1</t>
  </si>
  <si>
    <t>Run 2</t>
  </si>
  <si>
    <t>Run 3</t>
  </si>
  <si>
    <t>Run 4</t>
  </si>
  <si>
    <t>Run 5</t>
  </si>
  <si>
    <t>Funnel</t>
  </si>
  <si>
    <t>Elites Found</t>
  </si>
  <si>
    <t>Molecules Studied</t>
  </si>
  <si>
    <t>P, Eg and SA Calculations</t>
  </si>
  <si>
    <t>Total Efficiency %</t>
  </si>
  <si>
    <t>P, Eg and SA Efficiency %</t>
  </si>
  <si>
    <t>λ Efficiency %</t>
  </si>
  <si>
    <t>λ Molecules Calculated</t>
  </si>
  <si>
    <t>Average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</si>
</sst>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7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9D05-8E66-B94C-968C-BCF51621813C}">
  <dimension ref="A1:Q23"/>
  <sheetViews>
    <sheetView tabSelected="1" workbookViewId="0">
      <selection activeCell="L13" sqref="L13"/>
    </sheetView>
  </sheetViews>
  <sheetFormatPr baseColWidth="10" defaultRowHeight="16" x14ac:dyDescent="0.2"/>
  <cols>
    <col min="10" max="10" width="10.5" style="14" customWidth="1"/>
    <col min="11" max="17" width="11.5" style="14" customWidth="1"/>
  </cols>
  <sheetData>
    <row r="1" spans="1:17" ht="5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10"/>
      <c r="K1" s="6" t="s">
        <v>7</v>
      </c>
      <c r="L1" s="6" t="s">
        <v>8</v>
      </c>
      <c r="M1" s="6" t="s">
        <v>12</v>
      </c>
      <c r="N1" s="6" t="s">
        <v>6</v>
      </c>
      <c r="O1" s="6" t="s">
        <v>10</v>
      </c>
      <c r="P1" s="6" t="s">
        <v>11</v>
      </c>
      <c r="Q1" s="6" t="s">
        <v>9</v>
      </c>
    </row>
    <row r="2" spans="1:17" ht="17" x14ac:dyDescent="0.2">
      <c r="A2" s="1" t="s">
        <v>0</v>
      </c>
      <c r="B2" s="2"/>
      <c r="C2" s="1">
        <v>2.5</v>
      </c>
      <c r="D2" s="3">
        <v>0</v>
      </c>
      <c r="E2" s="3">
        <v>1</v>
      </c>
      <c r="F2" s="3">
        <v>2</v>
      </c>
      <c r="J2" s="10" t="s">
        <v>0</v>
      </c>
      <c r="K2" s="11">
        <v>13396</v>
      </c>
      <c r="L2" s="11">
        <v>4820</v>
      </c>
      <c r="M2" s="11">
        <v>1079</v>
      </c>
      <c r="N2" s="11">
        <v>99</v>
      </c>
      <c r="O2" s="12">
        <f>(M2/L2)*100</f>
        <v>22.385892116182575</v>
      </c>
      <c r="P2" s="12">
        <f>(N2/M2)*100</f>
        <v>9.175162187210379</v>
      </c>
      <c r="Q2" s="13">
        <f>(N2/K2)*100</f>
        <v>0.73902657509704384</v>
      </c>
    </row>
    <row r="3" spans="1:17" ht="17" x14ac:dyDescent="0.2">
      <c r="A3" s="1" t="s">
        <v>1</v>
      </c>
      <c r="B3" s="1">
        <v>2.5</v>
      </c>
      <c r="C3" s="2"/>
      <c r="D3" s="3">
        <v>1</v>
      </c>
      <c r="E3" s="3">
        <v>1</v>
      </c>
      <c r="F3" s="1">
        <v>0.5</v>
      </c>
      <c r="J3" s="10" t="s">
        <v>1</v>
      </c>
      <c r="K3" s="11">
        <v>12945</v>
      </c>
      <c r="L3" s="11">
        <v>4820</v>
      </c>
      <c r="M3" s="11">
        <v>1079</v>
      </c>
      <c r="N3" s="11">
        <v>101</v>
      </c>
      <c r="O3" s="12">
        <f t="shared" ref="O3:O8" si="0">(M3/L3)*100</f>
        <v>22.385892116182575</v>
      </c>
      <c r="P3" s="12">
        <f t="shared" ref="P3:P8" si="1">(N3/M3)*100</f>
        <v>9.3605189990732161</v>
      </c>
      <c r="Q3" s="13">
        <f t="shared" ref="Q3:Q8" si="2">(N3/K3)*100</f>
        <v>0.7802240247199691</v>
      </c>
    </row>
    <row r="4" spans="1:17" ht="17" x14ac:dyDescent="0.2">
      <c r="A4" s="1" t="s">
        <v>2</v>
      </c>
      <c r="B4" s="3">
        <v>0</v>
      </c>
      <c r="C4" s="3">
        <v>1</v>
      </c>
      <c r="D4" s="2"/>
      <c r="E4" s="3">
        <v>2</v>
      </c>
      <c r="F4" s="1">
        <v>0.5</v>
      </c>
      <c r="J4" s="10" t="s">
        <v>2</v>
      </c>
      <c r="K4" s="11">
        <v>13065</v>
      </c>
      <c r="L4" s="11">
        <v>4820</v>
      </c>
      <c r="M4" s="11">
        <v>1079</v>
      </c>
      <c r="N4" s="11">
        <v>94</v>
      </c>
      <c r="O4" s="12">
        <f t="shared" si="0"/>
        <v>22.385892116182575</v>
      </c>
      <c r="P4" s="12">
        <f t="shared" si="1"/>
        <v>8.7117701575532909</v>
      </c>
      <c r="Q4" s="13">
        <f t="shared" si="2"/>
        <v>0.71947952544967464</v>
      </c>
    </row>
    <row r="5" spans="1:17" ht="17" x14ac:dyDescent="0.2">
      <c r="A5" s="1" t="s">
        <v>3</v>
      </c>
      <c r="B5" s="3">
        <v>1</v>
      </c>
      <c r="C5" s="3">
        <v>1</v>
      </c>
      <c r="D5" s="3">
        <v>2</v>
      </c>
      <c r="E5" s="2"/>
      <c r="F5" s="1">
        <v>1.5</v>
      </c>
      <c r="J5" s="10" t="s">
        <v>3</v>
      </c>
      <c r="K5" s="11">
        <v>13390</v>
      </c>
      <c r="L5" s="11">
        <v>4820</v>
      </c>
      <c r="M5" s="11">
        <v>1079</v>
      </c>
      <c r="N5" s="11">
        <v>101</v>
      </c>
      <c r="O5" s="12">
        <f t="shared" si="0"/>
        <v>22.385892116182575</v>
      </c>
      <c r="P5" s="12">
        <f t="shared" si="1"/>
        <v>9.3605189990732161</v>
      </c>
      <c r="Q5" s="13">
        <f t="shared" si="2"/>
        <v>0.75429424943988055</v>
      </c>
    </row>
    <row r="6" spans="1:17" ht="17" x14ac:dyDescent="0.2">
      <c r="A6" s="1" t="s">
        <v>4</v>
      </c>
      <c r="B6" s="3">
        <v>2</v>
      </c>
      <c r="C6" s="1">
        <v>0.5</v>
      </c>
      <c r="D6" s="1">
        <v>0.5</v>
      </c>
      <c r="E6" s="3">
        <v>1.5</v>
      </c>
      <c r="F6" s="2"/>
      <c r="J6" s="10" t="s">
        <v>4</v>
      </c>
      <c r="K6" s="11">
        <v>13159</v>
      </c>
      <c r="L6" s="11">
        <v>4820</v>
      </c>
      <c r="M6" s="11">
        <v>1079</v>
      </c>
      <c r="N6" s="11">
        <v>94</v>
      </c>
      <c r="O6" s="12">
        <f t="shared" si="0"/>
        <v>22.385892116182575</v>
      </c>
      <c r="P6" s="12">
        <f t="shared" si="1"/>
        <v>8.7117701575532909</v>
      </c>
      <c r="Q6" s="13">
        <f t="shared" si="2"/>
        <v>0.71433999544038307</v>
      </c>
    </row>
    <row r="7" spans="1:17" ht="34" x14ac:dyDescent="0.2">
      <c r="A7" s="7"/>
      <c r="B7" s="8"/>
      <c r="C7" s="7"/>
      <c r="D7" s="7"/>
      <c r="E7" s="8"/>
      <c r="F7" s="9"/>
      <c r="J7" s="10" t="s">
        <v>13</v>
      </c>
      <c r="K7" s="11">
        <f>AVERAGE(K2:K6)</f>
        <v>13191</v>
      </c>
      <c r="L7" s="11">
        <f t="shared" ref="L7:Q7" si="3">AVERAGE(L2:L6)</f>
        <v>4820</v>
      </c>
      <c r="M7" s="11">
        <f t="shared" si="3"/>
        <v>1079</v>
      </c>
      <c r="N7" s="11">
        <f t="shared" si="3"/>
        <v>97.8</v>
      </c>
      <c r="O7" s="12">
        <f t="shared" si="3"/>
        <v>22.385892116182575</v>
      </c>
      <c r="P7" s="12">
        <f t="shared" si="3"/>
        <v>9.0639481000926772</v>
      </c>
      <c r="Q7" s="13">
        <f t="shared" si="3"/>
        <v>0.74147287402939033</v>
      </c>
    </row>
    <row r="8" spans="1:17" ht="17" x14ac:dyDescent="0.2">
      <c r="J8" s="10" t="s">
        <v>5</v>
      </c>
      <c r="K8" s="11">
        <v>24990</v>
      </c>
      <c r="L8" s="11">
        <v>14363</v>
      </c>
      <c r="M8" s="11">
        <v>3350</v>
      </c>
      <c r="N8" s="11">
        <v>133</v>
      </c>
      <c r="O8" s="12">
        <f t="shared" si="0"/>
        <v>23.323818143841816</v>
      </c>
      <c r="P8" s="12">
        <f t="shared" si="1"/>
        <v>3.9701492537313436</v>
      </c>
      <c r="Q8" s="13">
        <f t="shared" si="2"/>
        <v>0.53221288515406162</v>
      </c>
    </row>
    <row r="9" spans="1:17" x14ac:dyDescent="0.2">
      <c r="A9" s="1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17" x14ac:dyDescent="0.2">
      <c r="A10" s="1" t="s">
        <v>0</v>
      </c>
      <c r="B10" s="2"/>
      <c r="C10" s="1">
        <v>90.9</v>
      </c>
      <c r="D10" s="1">
        <v>89.9</v>
      </c>
      <c r="E10" s="1">
        <v>90.9</v>
      </c>
      <c r="F10" s="1">
        <v>86.9</v>
      </c>
      <c r="G10" s="4">
        <v>100</v>
      </c>
    </row>
    <row r="11" spans="1:17" x14ac:dyDescent="0.2">
      <c r="A11" s="1" t="s">
        <v>1</v>
      </c>
      <c r="B11" s="1">
        <v>89.1</v>
      </c>
      <c r="C11" s="2"/>
      <c r="D11" s="1">
        <v>88.1</v>
      </c>
      <c r="E11" s="1">
        <v>89.1</v>
      </c>
      <c r="F11" s="1">
        <v>89.1</v>
      </c>
      <c r="G11" s="4">
        <v>100</v>
      </c>
    </row>
    <row r="12" spans="1:17" x14ac:dyDescent="0.2">
      <c r="A12" s="1" t="s">
        <v>2</v>
      </c>
      <c r="B12" s="1">
        <v>94.7</v>
      </c>
      <c r="C12" s="1">
        <v>94.7</v>
      </c>
      <c r="D12" s="2"/>
      <c r="E12" s="1">
        <v>89.4</v>
      </c>
      <c r="F12" s="1">
        <v>93.6</v>
      </c>
      <c r="G12" s="4">
        <v>100</v>
      </c>
    </row>
    <row r="13" spans="1:17" x14ac:dyDescent="0.2">
      <c r="A13" s="1" t="s">
        <v>3</v>
      </c>
      <c r="B13" s="1">
        <v>89.1</v>
      </c>
      <c r="C13" s="1">
        <v>89.1</v>
      </c>
      <c r="D13" s="1">
        <v>83.2</v>
      </c>
      <c r="E13" s="2"/>
      <c r="F13" s="1">
        <v>87.1</v>
      </c>
      <c r="G13" s="4">
        <v>100</v>
      </c>
    </row>
    <row r="14" spans="1:17" x14ac:dyDescent="0.2">
      <c r="A14" s="1" t="s">
        <v>4</v>
      </c>
      <c r="B14" s="1">
        <v>91.5</v>
      </c>
      <c r="C14" s="1">
        <v>95.7</v>
      </c>
      <c r="D14" s="1">
        <v>93.6</v>
      </c>
      <c r="E14" s="1">
        <v>93.6</v>
      </c>
      <c r="F14" s="2"/>
      <c r="G14" s="4">
        <v>100</v>
      </c>
    </row>
    <row r="15" spans="1:17" x14ac:dyDescent="0.2">
      <c r="A15" s="1" t="s">
        <v>5</v>
      </c>
      <c r="B15" s="1">
        <v>74.400000000000006</v>
      </c>
      <c r="C15" s="1">
        <v>75.900000000000006</v>
      </c>
      <c r="D15" s="1">
        <v>70.7</v>
      </c>
      <c r="E15" s="1">
        <v>75.900000000000006</v>
      </c>
      <c r="F15" s="1">
        <v>70.7</v>
      </c>
      <c r="G15" s="2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  <row r="23" spans="1:1" x14ac:dyDescent="0.2">
      <c r="A2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Stephens-Jones</dc:creator>
  <cp:lastModifiedBy>Tristan Stephens-Jones</cp:lastModifiedBy>
  <dcterms:created xsi:type="dcterms:W3CDTF">2025-10-03T12:28:03Z</dcterms:created>
  <dcterms:modified xsi:type="dcterms:W3CDTF">2025-10-05T19:02:56Z</dcterms:modified>
</cp:coreProperties>
</file>